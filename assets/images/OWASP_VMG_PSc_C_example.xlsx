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elbel/Downloads/"/>
    </mc:Choice>
  </mc:AlternateContent>
  <xr:revisionPtr revIDLastSave="0" documentId="13_ncr:1_{A0437A96-91BA-BE4E-8EC2-238DBA41B87B}" xr6:coauthVersionLast="47" xr6:coauthVersionMax="47" xr10:uidLastSave="{00000000-0000-0000-0000-000000000000}"/>
  <bookViews>
    <workbookView xWindow="1260" yWindow="660" windowWidth="27640" windowHeight="16680" xr2:uid="{77943962-F861-B544-A54B-E941A02850D0}"/>
  </bookViews>
  <sheets>
    <sheet name="Weekly Rolling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" i="1"/>
  <c r="R16" i="1" l="1"/>
  <c r="R24" i="1"/>
  <c r="R13" i="1"/>
  <c r="R10" i="1"/>
  <c r="R11" i="1"/>
  <c r="R12" i="1"/>
  <c r="R15" i="1"/>
  <c r="R23" i="1"/>
  <c r="R14" i="1"/>
  <c r="R17" i="1"/>
  <c r="R20" i="1"/>
  <c r="R7" i="1"/>
  <c r="R21" i="1"/>
  <c r="R22" i="1"/>
  <c r="R8" i="1"/>
  <c r="R18" i="1"/>
  <c r="R9" i="1"/>
  <c r="R19" i="1"/>
  <c r="N12" i="1"/>
  <c r="N24" i="1"/>
  <c r="N13" i="1"/>
  <c r="N17" i="1"/>
  <c r="N11" i="1"/>
  <c r="N19" i="1"/>
  <c r="N23" i="1"/>
  <c r="J19" i="1"/>
  <c r="J9" i="1"/>
  <c r="J17" i="1"/>
  <c r="J8" i="1"/>
  <c r="J16" i="1"/>
  <c r="J15" i="1"/>
  <c r="J22" i="1"/>
  <c r="J21" i="1"/>
  <c r="J20" i="1"/>
  <c r="J14" i="1"/>
  <c r="J18" i="1"/>
  <c r="J12" i="1"/>
  <c r="J7" i="1"/>
  <c r="J13" i="1"/>
  <c r="J10" i="1"/>
  <c r="J24" i="1"/>
  <c r="J6" i="1"/>
  <c r="J23" i="1"/>
  <c r="F24" i="1"/>
  <c r="F14" i="1"/>
  <c r="F15" i="1"/>
  <c r="F22" i="1"/>
  <c r="F10" i="1"/>
  <c r="F12" i="1"/>
  <c r="F23" i="1"/>
  <c r="F13" i="1"/>
  <c r="F16" i="1"/>
  <c r="F9" i="1"/>
  <c r="F18" i="1"/>
  <c r="F20" i="1"/>
  <c r="F19" i="1"/>
  <c r="F21" i="1"/>
  <c r="F7" i="1"/>
  <c r="F8" i="1"/>
  <c r="F11" i="1"/>
  <c r="F17" i="1"/>
  <c r="J11" i="1"/>
  <c r="N22" i="1"/>
  <c r="N8" i="1"/>
  <c r="N18" i="1"/>
  <c r="N15" i="1"/>
  <c r="N20" i="1"/>
  <c r="R6" i="1"/>
  <c r="N14" i="1"/>
  <c r="N10" i="1"/>
  <c r="F6" i="1"/>
  <c r="N16" i="1"/>
  <c r="N7" i="1"/>
  <c r="N21" i="1"/>
  <c r="N9" i="1"/>
  <c r="N6" i="1"/>
</calcChain>
</file>

<file path=xl/sharedStrings.xml><?xml version="1.0" encoding="utf-8"?>
<sst xmlns="http://schemas.openxmlformats.org/spreadsheetml/2006/main" count="34" uniqueCount="19">
  <si>
    <t>N/A</t>
  </si>
  <si>
    <t>S4 C</t>
  </si>
  <si>
    <t>S4 Score</t>
  </si>
  <si>
    <t>S4 KEV</t>
  </si>
  <si>
    <t>S4 Vulns</t>
  </si>
  <si>
    <t>S3 C</t>
  </si>
  <si>
    <t>S3 Score</t>
  </si>
  <si>
    <t>S3 KEV</t>
  </si>
  <si>
    <t>S3 Vulns</t>
  </si>
  <si>
    <t>S2 C</t>
  </si>
  <si>
    <t>S2 Score</t>
  </si>
  <si>
    <t>S2 KEV</t>
  </si>
  <si>
    <t>S2 Vulns</t>
  </si>
  <si>
    <t>S1 C</t>
  </si>
  <si>
    <t>S1 Score</t>
  </si>
  <si>
    <t>Total Hosts</t>
  </si>
  <si>
    <t>S1 KEV</t>
  </si>
  <si>
    <t>S1 Vulns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</si>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</sst>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00;\-0.000;0.000"/>
  </numFmts>
  <fonts count="3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2"/>
      <color rgb="FFFFFFFF"/>
      <name val="Arial Narrow Bold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3" tint="0.39997558519241921"/>
        <bgColor rgb="FF1F4E7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4FAE1-75EA-9D40-BBC9-1E2B3B275EFA}">
  <dimension ref="A1:R24"/>
  <sheetViews>
    <sheetView tabSelected="1" workbookViewId="0">
      <selection activeCell="R24" sqref="R24"/>
    </sheetView>
  </sheetViews>
  <sheetFormatPr baseColWidth="10" defaultColWidth="8.83203125" defaultRowHeight="14"/>
  <cols>
    <col min="1" max="1" width="6" style="1" customWidth="1"/>
    <col min="2" max="2" width="10" style="1" customWidth="1"/>
    <col min="3" max="4" width="8" style="1" customWidth="1"/>
    <col min="5" max="5" width="13.83203125" style="1" customWidth="1"/>
    <col min="6" max="6" width="20" style="1" customWidth="1"/>
    <col min="7" max="7" width="10" style="1" customWidth="1"/>
    <col min="8" max="8" width="8" style="1" customWidth="1"/>
    <col min="9" max="9" width="10" style="1" customWidth="1"/>
    <col min="10" max="10" width="20" style="1" customWidth="1"/>
    <col min="11" max="11" width="10" style="1" customWidth="1"/>
    <col min="12" max="12" width="8" style="1" customWidth="1"/>
    <col min="13" max="13" width="10" style="1" customWidth="1"/>
    <col min="14" max="14" width="20" style="1" customWidth="1"/>
    <col min="15" max="15" width="10" style="1" customWidth="1"/>
    <col min="16" max="16" width="8" style="1" customWidth="1"/>
    <col min="17" max="17" width="10" style="1" customWidth="1"/>
    <col min="18" max="18" width="20" style="1" customWidth="1"/>
    <col min="19" max="16384" width="8.83203125" style="1"/>
  </cols>
  <sheetData>
    <row r="1" spans="1:18" ht="35" customHeight="1">
      <c r="A1" s="5" t="s">
        <v>18</v>
      </c>
      <c r="B1" s="5" t="s">
        <v>17</v>
      </c>
      <c r="C1" s="5" t="s">
        <v>16</v>
      </c>
      <c r="D1" s="6" t="s">
        <v>15</v>
      </c>
      <c r="E1" s="5" t="s">
        <v>14</v>
      </c>
      <c r="F1" s="5" t="s">
        <v>13</v>
      </c>
      <c r="G1" s="7" t="s">
        <v>12</v>
      </c>
      <c r="H1" s="7" t="s">
        <v>11</v>
      </c>
      <c r="I1" s="7" t="s">
        <v>10</v>
      </c>
      <c r="J1" s="7" t="s">
        <v>9</v>
      </c>
      <c r="K1" s="5" t="s">
        <v>8</v>
      </c>
      <c r="L1" s="5" t="s">
        <v>7</v>
      </c>
      <c r="M1" s="5" t="s">
        <v>6</v>
      </c>
      <c r="N1" s="5" t="s">
        <v>5</v>
      </c>
      <c r="O1" s="7" t="s">
        <v>4</v>
      </c>
      <c r="P1" s="7" t="s">
        <v>3</v>
      </c>
      <c r="Q1" s="7" t="s">
        <v>2</v>
      </c>
      <c r="R1" s="7" t="s">
        <v>1</v>
      </c>
    </row>
    <row r="2" spans="1:18">
      <c r="A2" s="4">
        <v>1</v>
      </c>
      <c r="B2" s="4">
        <v>50164</v>
      </c>
      <c r="C2" s="4">
        <v>4</v>
      </c>
      <c r="D2" s="4">
        <v>1000</v>
      </c>
      <c r="E2" s="3">
        <f>IF(D2&lt;=0, "ERROR: Missing Hosts", (B2 * IF(C2=0, 0.1, C2) * 100) / (D2^2))</f>
        <v>20.0656</v>
      </c>
      <c r="F2" s="4" t="s">
        <v>0</v>
      </c>
      <c r="G2" s="4">
        <v>50160</v>
      </c>
      <c r="H2" s="4">
        <v>0</v>
      </c>
      <c r="I2" s="3">
        <f>IF(D2&lt;=0, "ERROR: Missing Hosts", (G2 * IF(H2=0, 0.1, H2) * 100) / (D2^2))</f>
        <v>0.50160000000000005</v>
      </c>
      <c r="J2" s="4" t="s">
        <v>0</v>
      </c>
      <c r="K2" s="4">
        <v>50100</v>
      </c>
      <c r="L2" s="4">
        <v>2</v>
      </c>
      <c r="M2" s="3">
        <f>IF(D2&lt;=0, "ERROR: Missing Hosts", (K2 * IF(L2=0, 0.1, L2) * 100) / (D2^2))</f>
        <v>10.02</v>
      </c>
      <c r="N2" s="4" t="s">
        <v>0</v>
      </c>
      <c r="O2" s="4">
        <v>50080</v>
      </c>
      <c r="P2" s="4">
        <v>0</v>
      </c>
      <c r="Q2" s="3">
        <f>IF(D2&lt;=0, "ERROR: Missing Hosts", (O2 * IF(P2=0, 0.1, P2) * 100) / (D2^2))</f>
        <v>0.50080000000000002</v>
      </c>
      <c r="R2" s="4" t="s">
        <v>0</v>
      </c>
    </row>
    <row r="3" spans="1:18">
      <c r="A3" s="4">
        <v>2</v>
      </c>
      <c r="B3" s="4">
        <v>50164</v>
      </c>
      <c r="C3" s="4">
        <v>4</v>
      </c>
      <c r="D3" s="4">
        <v>1000</v>
      </c>
      <c r="E3" s="3">
        <f t="shared" ref="E3:E24" si="0">IF(D3&lt;=0, "ERROR: Missing Hosts", (B3 * IF(C3=0, 0.1, C3) * 100) / (D3^2))</f>
        <v>20.0656</v>
      </c>
      <c r="F3" s="4" t="s">
        <v>0</v>
      </c>
      <c r="G3" s="4">
        <v>50160</v>
      </c>
      <c r="H3" s="4">
        <v>0</v>
      </c>
      <c r="I3" s="3">
        <f t="shared" ref="I3:I24" si="1">IF(D3&lt;=0, "ERROR: Missing Hosts", (G3 * IF(H3=0, 0.1, H3) * 100) / (D3^2))</f>
        <v>0.50160000000000005</v>
      </c>
      <c r="J3" s="4" t="s">
        <v>0</v>
      </c>
      <c r="K3" s="4">
        <v>50100</v>
      </c>
      <c r="L3" s="4">
        <v>2</v>
      </c>
      <c r="M3" s="3">
        <f t="shared" ref="M3:M24" si="2">IF(D3&lt;=0, "ERROR: Missing Hosts", (K3 * IF(L3=0, 0.1, L3) * 100) / (D3^2))</f>
        <v>10.02</v>
      </c>
      <c r="N3" s="4" t="s">
        <v>0</v>
      </c>
      <c r="O3" s="4">
        <v>50080</v>
      </c>
      <c r="P3" s="4">
        <v>0</v>
      </c>
      <c r="Q3" s="3">
        <f t="shared" ref="Q3:Q24" si="3">IF(D3&lt;=0, "ERROR: Missing Hosts", (O3 * IF(P3=0, 0.1, P3) * 100) / (D3^2))</f>
        <v>0.50080000000000002</v>
      </c>
      <c r="R3" s="4" t="s">
        <v>0</v>
      </c>
    </row>
    <row r="4" spans="1:18">
      <c r="A4" s="4">
        <v>3</v>
      </c>
      <c r="B4" s="4">
        <v>50164</v>
      </c>
      <c r="C4" s="4">
        <v>4</v>
      </c>
      <c r="D4" s="4">
        <v>1000</v>
      </c>
      <c r="E4" s="3">
        <f t="shared" si="0"/>
        <v>20.0656</v>
      </c>
      <c r="F4" s="4" t="s">
        <v>0</v>
      </c>
      <c r="G4" s="4">
        <v>50160</v>
      </c>
      <c r="H4" s="4">
        <v>0</v>
      </c>
      <c r="I4" s="3">
        <f t="shared" si="1"/>
        <v>0.50160000000000005</v>
      </c>
      <c r="J4" s="4" t="s">
        <v>0</v>
      </c>
      <c r="K4" s="4">
        <v>50100</v>
      </c>
      <c r="L4" s="4">
        <v>2</v>
      </c>
      <c r="M4" s="3">
        <f t="shared" si="2"/>
        <v>10.02</v>
      </c>
      <c r="N4" s="4" t="s">
        <v>0</v>
      </c>
      <c r="O4" s="4">
        <v>50080</v>
      </c>
      <c r="P4" s="4">
        <v>0</v>
      </c>
      <c r="Q4" s="3">
        <f t="shared" si="3"/>
        <v>0.50080000000000002</v>
      </c>
      <c r="R4" s="4" t="s">
        <v>0</v>
      </c>
    </row>
    <row r="5" spans="1:18">
      <c r="A5" s="4">
        <v>4</v>
      </c>
      <c r="B5" s="4">
        <v>50164</v>
      </c>
      <c r="C5" s="4">
        <v>4</v>
      </c>
      <c r="D5" s="4">
        <v>1000</v>
      </c>
      <c r="E5" s="3">
        <f t="shared" si="0"/>
        <v>20.0656</v>
      </c>
      <c r="F5" s="4" t="s">
        <v>0</v>
      </c>
      <c r="G5" s="4">
        <v>50160</v>
      </c>
      <c r="H5" s="4">
        <v>0</v>
      </c>
      <c r="I5" s="3">
        <f t="shared" si="1"/>
        <v>0.50160000000000005</v>
      </c>
      <c r="J5" s="4" t="s">
        <v>0</v>
      </c>
      <c r="K5" s="4">
        <v>50100</v>
      </c>
      <c r="L5" s="4">
        <v>2</v>
      </c>
      <c r="M5" s="3">
        <f t="shared" si="2"/>
        <v>10.02</v>
      </c>
      <c r="N5" s="4" t="s">
        <v>0</v>
      </c>
      <c r="O5" s="4">
        <v>50080</v>
      </c>
      <c r="P5" s="4">
        <v>0</v>
      </c>
      <c r="Q5" s="3">
        <f t="shared" si="3"/>
        <v>0.50080000000000002</v>
      </c>
      <c r="R5" s="4" t="s">
        <v>0</v>
      </c>
    </row>
    <row r="6" spans="1:18">
      <c r="A6" s="4">
        <v>5</v>
      </c>
      <c r="B6" s="4">
        <v>50264</v>
      </c>
      <c r="C6" s="4">
        <v>6</v>
      </c>
      <c r="D6" s="4">
        <v>1000</v>
      </c>
      <c r="E6" s="3">
        <f t="shared" si="0"/>
        <v>30.1584</v>
      </c>
      <c r="F6" s="2">
        <f>SLOPE(E2:E6,A2:A6)</f>
        <v>2.0185599999999999</v>
      </c>
      <c r="G6" s="4">
        <v>50260</v>
      </c>
      <c r="H6" s="4">
        <v>2</v>
      </c>
      <c r="I6" s="3">
        <f t="shared" si="1"/>
        <v>10.052</v>
      </c>
      <c r="J6" s="2">
        <f>SLOPE(I2:I6,A2:A6)</f>
        <v>1.91008</v>
      </c>
      <c r="K6" s="4">
        <v>50200</v>
      </c>
      <c r="L6" s="4">
        <v>4</v>
      </c>
      <c r="M6" s="3">
        <f t="shared" si="2"/>
        <v>20.079999999999998</v>
      </c>
      <c r="N6" s="4">
        <f>SLOPE(M2:M6,A2:A6)</f>
        <v>2.0119999999999996</v>
      </c>
      <c r="O6" s="4">
        <v>50100</v>
      </c>
      <c r="P6" s="4">
        <v>2</v>
      </c>
      <c r="Q6" s="3">
        <f t="shared" si="3"/>
        <v>10.02</v>
      </c>
      <c r="R6" s="4">
        <f>SLOPE(Q2:Q6,A2:A6)</f>
        <v>1.90384</v>
      </c>
    </row>
    <row r="7" spans="1:18">
      <c r="A7" s="4">
        <v>6</v>
      </c>
      <c r="B7" s="4">
        <v>50264</v>
      </c>
      <c r="C7" s="4">
        <v>6</v>
      </c>
      <c r="D7" s="4">
        <v>1000</v>
      </c>
      <c r="E7" s="3">
        <f t="shared" si="0"/>
        <v>30.1584</v>
      </c>
      <c r="F7" s="2">
        <f>SLOPE(E3:E7,A3:A7)</f>
        <v>3.0278400000000003</v>
      </c>
      <c r="G7" s="4">
        <v>50260</v>
      </c>
      <c r="H7" s="4">
        <v>2</v>
      </c>
      <c r="I7" s="3">
        <f t="shared" si="1"/>
        <v>10.052</v>
      </c>
      <c r="J7" s="2">
        <f>SLOPE(I3:I7,A3:A7)</f>
        <v>2.8651200000000001</v>
      </c>
      <c r="K7" s="4">
        <v>50100</v>
      </c>
      <c r="L7" s="4">
        <v>2</v>
      </c>
      <c r="M7" s="3">
        <f t="shared" si="2"/>
        <v>10.02</v>
      </c>
      <c r="N7" s="4">
        <f>SLOPE(M3:M7,A3:A7)</f>
        <v>1.0059999999999998</v>
      </c>
      <c r="O7" s="4">
        <v>50080</v>
      </c>
      <c r="P7" s="4">
        <v>0</v>
      </c>
      <c r="Q7" s="3">
        <f t="shared" si="3"/>
        <v>0.50080000000000002</v>
      </c>
      <c r="R7" s="4">
        <f>SLOPE(Q3:Q7,A3:A7)</f>
        <v>0.95191999999999999</v>
      </c>
    </row>
    <row r="8" spans="1:18">
      <c r="A8" s="4">
        <v>7</v>
      </c>
      <c r="B8" s="4">
        <v>50246</v>
      </c>
      <c r="C8" s="4">
        <v>6</v>
      </c>
      <c r="D8" s="4">
        <v>1000</v>
      </c>
      <c r="E8" s="3">
        <f t="shared" si="0"/>
        <v>30.147600000000001</v>
      </c>
      <c r="F8" s="2">
        <f>SLOPE(E4:E8,A4:A8)</f>
        <v>3.0256800000000004</v>
      </c>
      <c r="G8" s="4">
        <v>50260</v>
      </c>
      <c r="H8" s="4">
        <v>2</v>
      </c>
      <c r="I8" s="3">
        <f t="shared" si="1"/>
        <v>10.052</v>
      </c>
      <c r="J8" s="2">
        <f>SLOPE(I4:I8,A4:A8)</f>
        <v>2.8651200000000001</v>
      </c>
      <c r="K8" s="4">
        <v>50100</v>
      </c>
      <c r="L8" s="4">
        <v>2</v>
      </c>
      <c r="M8" s="3">
        <f t="shared" si="2"/>
        <v>10.02</v>
      </c>
      <c r="N8" s="4">
        <f>SLOPE(M4:M8,A4:A8)</f>
        <v>0</v>
      </c>
      <c r="O8" s="4">
        <v>50080</v>
      </c>
      <c r="P8" s="4">
        <v>0</v>
      </c>
      <c r="Q8" s="3">
        <f t="shared" si="3"/>
        <v>0.50080000000000002</v>
      </c>
      <c r="R8" s="4">
        <f>SLOPE(Q4:Q8,A4:A8)</f>
        <v>0</v>
      </c>
    </row>
    <row r="9" spans="1:18">
      <c r="A9" s="4">
        <v>8</v>
      </c>
      <c r="B9" s="4">
        <v>50246</v>
      </c>
      <c r="C9" s="4">
        <v>6</v>
      </c>
      <c r="D9" s="4">
        <v>1000</v>
      </c>
      <c r="E9" s="3">
        <f t="shared" si="0"/>
        <v>30.147600000000001</v>
      </c>
      <c r="F9" s="2">
        <f>SLOPE(E5:E9,A5:A9)</f>
        <v>2.01532</v>
      </c>
      <c r="G9" s="4">
        <v>50240</v>
      </c>
      <c r="H9" s="4">
        <v>0</v>
      </c>
      <c r="I9" s="3">
        <f t="shared" si="1"/>
        <v>0.50239999999999996</v>
      </c>
      <c r="J9" s="2">
        <f>SLOPE(I5:I9,A5:A9)</f>
        <v>1.5999999999998237E-4</v>
      </c>
      <c r="K9" s="4">
        <v>50100</v>
      </c>
      <c r="L9" s="4">
        <v>2</v>
      </c>
      <c r="M9" s="3">
        <f t="shared" si="2"/>
        <v>10.02</v>
      </c>
      <c r="N9" s="4">
        <f>SLOPE(M5:M9,A5:A9)</f>
        <v>-1.0059999999999998</v>
      </c>
      <c r="O9" s="4">
        <v>50080</v>
      </c>
      <c r="P9" s="4">
        <v>0</v>
      </c>
      <c r="Q9" s="3">
        <f t="shared" si="3"/>
        <v>0.50080000000000002</v>
      </c>
      <c r="R9" s="4">
        <f>SLOPE(Q5:Q9,A5:A9)</f>
        <v>-0.95191999999999999</v>
      </c>
    </row>
    <row r="10" spans="1:18">
      <c r="A10" s="4">
        <v>9</v>
      </c>
      <c r="B10" s="4">
        <v>50346</v>
      </c>
      <c r="C10" s="4">
        <v>8</v>
      </c>
      <c r="D10" s="4">
        <v>1000</v>
      </c>
      <c r="E10" s="3">
        <f t="shared" si="0"/>
        <v>40.276800000000001</v>
      </c>
      <c r="F10" s="2">
        <f>SLOPE(E6:E10,A6:A10)</f>
        <v>2.0226000000000002</v>
      </c>
      <c r="G10" s="4">
        <v>50340</v>
      </c>
      <c r="H10" s="4">
        <v>2</v>
      </c>
      <c r="I10" s="3">
        <f t="shared" si="1"/>
        <v>10.068</v>
      </c>
      <c r="J10" s="2">
        <f>SLOPE(I6:I10,A6:A10)</f>
        <v>-0.95175999999999994</v>
      </c>
      <c r="K10" s="4">
        <v>50200</v>
      </c>
      <c r="L10" s="4">
        <v>4</v>
      </c>
      <c r="M10" s="3">
        <f t="shared" si="2"/>
        <v>20.079999999999998</v>
      </c>
      <c r="N10" s="4">
        <f>SLOPE(M6:M10,A6:A10)</f>
        <v>0</v>
      </c>
      <c r="O10" s="4">
        <v>50100</v>
      </c>
      <c r="P10" s="4">
        <v>2</v>
      </c>
      <c r="Q10" s="3">
        <f t="shared" si="3"/>
        <v>10.02</v>
      </c>
      <c r="R10" s="4">
        <f>SLOPE(Q6:Q10,A6:A10)</f>
        <v>0</v>
      </c>
    </row>
    <row r="11" spans="1:18">
      <c r="A11" s="4">
        <v>10</v>
      </c>
      <c r="B11" s="4">
        <v>50346</v>
      </c>
      <c r="C11" s="4">
        <v>8</v>
      </c>
      <c r="D11" s="4">
        <v>1000</v>
      </c>
      <c r="E11" s="3">
        <f t="shared" si="0"/>
        <v>40.276800000000001</v>
      </c>
      <c r="F11" s="2">
        <f>SLOPE(E7:E11,A7:A11)</f>
        <v>3.0366000000000004</v>
      </c>
      <c r="G11" s="4">
        <v>50340</v>
      </c>
      <c r="H11" s="4">
        <v>2</v>
      </c>
      <c r="I11" s="3">
        <f t="shared" si="1"/>
        <v>10.068</v>
      </c>
      <c r="J11" s="2">
        <f>SLOPE(I7:I11,A7:A11)</f>
        <v>4.8000000000000039E-3</v>
      </c>
      <c r="K11" s="4">
        <v>50100</v>
      </c>
      <c r="L11" s="4">
        <v>2</v>
      </c>
      <c r="M11" s="3">
        <f t="shared" si="2"/>
        <v>10.02</v>
      </c>
      <c r="N11" s="4">
        <f>SLOPE(M7:M11,A7:A11)</f>
        <v>1.0059999999999998</v>
      </c>
      <c r="O11" s="4">
        <v>50080</v>
      </c>
      <c r="P11" s="4">
        <v>0</v>
      </c>
      <c r="Q11" s="3">
        <f t="shared" si="3"/>
        <v>0.50080000000000002</v>
      </c>
      <c r="R11" s="4">
        <f>SLOPE(Q7:Q11,A7:A11)</f>
        <v>0.95191999999999999</v>
      </c>
    </row>
    <row r="12" spans="1:18">
      <c r="A12" s="4">
        <v>11</v>
      </c>
      <c r="B12" s="4">
        <v>50328</v>
      </c>
      <c r="C12" s="4">
        <v>8</v>
      </c>
      <c r="D12" s="4">
        <v>1000</v>
      </c>
      <c r="E12" s="3">
        <f t="shared" si="0"/>
        <v>40.2624</v>
      </c>
      <c r="F12" s="2">
        <f>SLOPE(E8:E12,A8:A12)</f>
        <v>3.0358799999999997</v>
      </c>
      <c r="G12" s="4">
        <v>50340</v>
      </c>
      <c r="H12" s="4">
        <v>2</v>
      </c>
      <c r="I12" s="3">
        <f t="shared" si="1"/>
        <v>10.068</v>
      </c>
      <c r="J12" s="2">
        <f>SLOPE(I8:I12,A8:A12)</f>
        <v>0.95975999999999995</v>
      </c>
      <c r="K12" s="4">
        <v>50100</v>
      </c>
      <c r="L12" s="4">
        <v>2</v>
      </c>
      <c r="M12" s="3">
        <f t="shared" si="2"/>
        <v>10.02</v>
      </c>
      <c r="N12" s="4">
        <f>SLOPE(M8:M12,A8:A12)</f>
        <v>0</v>
      </c>
      <c r="O12" s="4">
        <v>50080</v>
      </c>
      <c r="P12" s="4">
        <v>0</v>
      </c>
      <c r="Q12" s="3">
        <f t="shared" si="3"/>
        <v>0.50080000000000002</v>
      </c>
      <c r="R12" s="4">
        <f>SLOPE(Q8:Q12,A8:A12)</f>
        <v>0</v>
      </c>
    </row>
    <row r="13" spans="1:18">
      <c r="A13" s="4">
        <v>12</v>
      </c>
      <c r="B13" s="4">
        <v>50328</v>
      </c>
      <c r="C13" s="4">
        <v>8</v>
      </c>
      <c r="D13" s="4">
        <v>1000</v>
      </c>
      <c r="E13" s="3">
        <f t="shared" si="0"/>
        <v>40.2624</v>
      </c>
      <c r="F13" s="2">
        <f>SLOPE(E9:E13,A9:A13)</f>
        <v>2.0215199999999998</v>
      </c>
      <c r="G13" s="4">
        <v>50320</v>
      </c>
      <c r="H13" s="4">
        <v>0</v>
      </c>
      <c r="I13" s="3">
        <f t="shared" si="1"/>
        <v>0.50319999999999998</v>
      </c>
      <c r="J13" s="2">
        <f>SLOPE(I9:I13,A9:A13)</f>
        <v>1.5999999999998237E-4</v>
      </c>
      <c r="K13" s="4">
        <v>50100</v>
      </c>
      <c r="L13" s="4">
        <v>2</v>
      </c>
      <c r="M13" s="3">
        <f t="shared" si="2"/>
        <v>10.02</v>
      </c>
      <c r="N13" s="4">
        <f>SLOPE(M9:M13,A9:A13)</f>
        <v>-1.0059999999999998</v>
      </c>
      <c r="O13" s="4">
        <v>50080</v>
      </c>
      <c r="P13" s="4">
        <v>0</v>
      </c>
      <c r="Q13" s="3">
        <f t="shared" si="3"/>
        <v>0.50080000000000002</v>
      </c>
      <c r="R13" s="4">
        <f>SLOPE(Q9:Q13,A9:A13)</f>
        <v>-0.95191999999999999</v>
      </c>
    </row>
    <row r="14" spans="1:18">
      <c r="A14" s="4">
        <v>13</v>
      </c>
      <c r="B14" s="4">
        <v>50428</v>
      </c>
      <c r="C14" s="4">
        <v>10</v>
      </c>
      <c r="D14" s="4">
        <v>1000</v>
      </c>
      <c r="E14" s="3">
        <f t="shared" si="0"/>
        <v>50.427999999999997</v>
      </c>
      <c r="F14" s="2">
        <f>SLOPE(E10:E14,A10:A14)</f>
        <v>2.028799999999999</v>
      </c>
      <c r="G14" s="4">
        <v>50420</v>
      </c>
      <c r="H14" s="4">
        <v>2</v>
      </c>
      <c r="I14" s="3">
        <f t="shared" si="1"/>
        <v>10.084</v>
      </c>
      <c r="J14" s="2">
        <f>SLOPE(I10:I14,A10:A14)</f>
        <v>-0.95328000000000002</v>
      </c>
      <c r="K14" s="4">
        <v>50200</v>
      </c>
      <c r="L14" s="4">
        <v>4</v>
      </c>
      <c r="M14" s="3">
        <f t="shared" si="2"/>
        <v>20.079999999999998</v>
      </c>
      <c r="N14" s="4">
        <f>SLOPE(M10:M14,A10:A14)</f>
        <v>0</v>
      </c>
      <c r="O14" s="4">
        <v>50100</v>
      </c>
      <c r="P14" s="4">
        <v>2</v>
      </c>
      <c r="Q14" s="3">
        <f t="shared" si="3"/>
        <v>10.02</v>
      </c>
      <c r="R14" s="4">
        <f>SLOPE(Q10:Q14,A10:A14)</f>
        <v>0</v>
      </c>
    </row>
    <row r="15" spans="1:18">
      <c r="A15" s="4">
        <v>14</v>
      </c>
      <c r="B15" s="4">
        <v>50428</v>
      </c>
      <c r="C15" s="4">
        <v>10</v>
      </c>
      <c r="D15" s="4">
        <v>1000</v>
      </c>
      <c r="E15" s="3">
        <f t="shared" si="0"/>
        <v>50.427999999999997</v>
      </c>
      <c r="F15" s="2">
        <f>SLOPE(E11:E15,A11:A15)</f>
        <v>3.0467999999999988</v>
      </c>
      <c r="G15" s="4">
        <v>50420</v>
      </c>
      <c r="H15" s="4">
        <v>2</v>
      </c>
      <c r="I15" s="3">
        <f t="shared" si="1"/>
        <v>10.084</v>
      </c>
      <c r="J15" s="2">
        <f>SLOPE(I11:I15,A11:A15)</f>
        <v>4.8000000000000039E-3</v>
      </c>
      <c r="K15" s="4">
        <v>50100</v>
      </c>
      <c r="L15" s="4">
        <v>2</v>
      </c>
      <c r="M15" s="3">
        <f t="shared" si="2"/>
        <v>10.02</v>
      </c>
      <c r="N15" s="4">
        <f>SLOPE(M11:M15,A11:A15)</f>
        <v>1.0059999999999998</v>
      </c>
      <c r="O15" s="4">
        <v>50080</v>
      </c>
      <c r="P15" s="4">
        <v>0</v>
      </c>
      <c r="Q15" s="3">
        <f t="shared" si="3"/>
        <v>0.50080000000000002</v>
      </c>
      <c r="R15" s="4">
        <f>SLOPE(Q11:Q15,A11:A15)</f>
        <v>0.95191999999999999</v>
      </c>
    </row>
    <row r="16" spans="1:18">
      <c r="A16" s="4">
        <v>15</v>
      </c>
      <c r="B16" s="4">
        <v>50410</v>
      </c>
      <c r="C16" s="4">
        <v>10</v>
      </c>
      <c r="D16" s="4">
        <v>1000</v>
      </c>
      <c r="E16" s="3">
        <f t="shared" si="0"/>
        <v>50.41</v>
      </c>
      <c r="F16" s="2">
        <f>SLOPE(E12:E16,A12:A16)</f>
        <v>3.046079999999999</v>
      </c>
      <c r="G16" s="4">
        <v>50420</v>
      </c>
      <c r="H16" s="4">
        <v>2</v>
      </c>
      <c r="I16" s="3">
        <f t="shared" si="1"/>
        <v>10.084</v>
      </c>
      <c r="J16" s="2">
        <f>SLOPE(I12:I16,A12:A16)</f>
        <v>0.96128000000000002</v>
      </c>
      <c r="K16" s="4">
        <v>50100</v>
      </c>
      <c r="L16" s="4">
        <v>2</v>
      </c>
      <c r="M16" s="3">
        <f t="shared" si="2"/>
        <v>10.02</v>
      </c>
      <c r="N16" s="4">
        <f>SLOPE(M12:M16,A12:A16)</f>
        <v>0</v>
      </c>
      <c r="O16" s="4">
        <v>50080</v>
      </c>
      <c r="P16" s="4">
        <v>0</v>
      </c>
      <c r="Q16" s="3">
        <f t="shared" si="3"/>
        <v>0.50080000000000002</v>
      </c>
      <c r="R16" s="4">
        <f>SLOPE(Q12:Q16,A12:A16)</f>
        <v>0</v>
      </c>
    </row>
    <row r="17" spans="1:18">
      <c r="A17" s="4">
        <v>16</v>
      </c>
      <c r="B17" s="4">
        <v>50410</v>
      </c>
      <c r="C17" s="4">
        <v>10</v>
      </c>
      <c r="D17" s="4">
        <v>1000</v>
      </c>
      <c r="E17" s="3">
        <f t="shared" si="0"/>
        <v>50.41</v>
      </c>
      <c r="F17" s="2">
        <f>SLOPE(E13:E17,A13:A17)</f>
        <v>2.0277199999999995</v>
      </c>
      <c r="G17" s="4">
        <v>50400</v>
      </c>
      <c r="H17" s="4">
        <v>0</v>
      </c>
      <c r="I17" s="3">
        <f t="shared" si="1"/>
        <v>0.504</v>
      </c>
      <c r="J17" s="2">
        <f>SLOPE(I13:I17,A13:A17)</f>
        <v>1.5999999999998237E-4</v>
      </c>
      <c r="K17" s="4">
        <v>50100</v>
      </c>
      <c r="L17" s="4">
        <v>2</v>
      </c>
      <c r="M17" s="3">
        <f t="shared" si="2"/>
        <v>10.02</v>
      </c>
      <c r="N17" s="4">
        <f>SLOPE(M13:M17,A13:A17)</f>
        <v>-1.0059999999999998</v>
      </c>
      <c r="O17" s="4">
        <v>50080</v>
      </c>
      <c r="P17" s="4">
        <v>0</v>
      </c>
      <c r="Q17" s="3">
        <f t="shared" si="3"/>
        <v>0.50080000000000002</v>
      </c>
      <c r="R17" s="4">
        <f>SLOPE(Q13:Q17,A13:A17)</f>
        <v>-0.95191999999999999</v>
      </c>
    </row>
    <row r="18" spans="1:18">
      <c r="A18" s="4">
        <v>17</v>
      </c>
      <c r="B18" s="4">
        <v>50510</v>
      </c>
      <c r="C18" s="4">
        <v>12</v>
      </c>
      <c r="D18" s="4">
        <v>1000</v>
      </c>
      <c r="E18" s="3">
        <f t="shared" si="0"/>
        <v>60.612000000000002</v>
      </c>
      <c r="F18" s="2">
        <f>SLOPE(E14:E18,A14:A18)</f>
        <v>2.035000000000001</v>
      </c>
      <c r="G18" s="4">
        <v>50500</v>
      </c>
      <c r="H18" s="4">
        <v>2</v>
      </c>
      <c r="I18" s="3">
        <f t="shared" si="1"/>
        <v>10.1</v>
      </c>
      <c r="J18" s="2">
        <f>SLOPE(I14:I18,A14:A18)</f>
        <v>-0.95479999999999998</v>
      </c>
      <c r="K18" s="4">
        <v>50200</v>
      </c>
      <c r="L18" s="4">
        <v>4</v>
      </c>
      <c r="M18" s="3">
        <f t="shared" si="2"/>
        <v>20.079999999999998</v>
      </c>
      <c r="N18" s="4">
        <f>SLOPE(M14:M18,A14:A18)</f>
        <v>0</v>
      </c>
      <c r="O18" s="4">
        <v>50100</v>
      </c>
      <c r="P18" s="4">
        <v>2</v>
      </c>
      <c r="Q18" s="3">
        <f t="shared" si="3"/>
        <v>10.02</v>
      </c>
      <c r="R18" s="4">
        <f>SLOPE(Q14:Q18,A14:A18)</f>
        <v>0</v>
      </c>
    </row>
    <row r="19" spans="1:18">
      <c r="A19" s="4">
        <v>18</v>
      </c>
      <c r="B19" s="4">
        <v>50510</v>
      </c>
      <c r="C19" s="4">
        <v>12</v>
      </c>
      <c r="D19" s="4">
        <v>1000</v>
      </c>
      <c r="E19" s="3">
        <f t="shared" si="0"/>
        <v>60.612000000000002</v>
      </c>
      <c r="F19" s="2">
        <f>SLOPE(E15:E19,A15:A19)</f>
        <v>3.0570000000000013</v>
      </c>
      <c r="G19" s="4">
        <v>50500</v>
      </c>
      <c r="H19" s="4">
        <v>2</v>
      </c>
      <c r="I19" s="3">
        <f t="shared" si="1"/>
        <v>10.1</v>
      </c>
      <c r="J19" s="2">
        <f>SLOPE(I15:I19,A15:A19)</f>
        <v>4.8000000000000039E-3</v>
      </c>
      <c r="K19" s="4">
        <v>50100</v>
      </c>
      <c r="L19" s="4">
        <v>2</v>
      </c>
      <c r="M19" s="3">
        <f t="shared" si="2"/>
        <v>10.02</v>
      </c>
      <c r="N19" s="4">
        <f>SLOPE(M15:M19,A15:A19)</f>
        <v>1.0059999999999998</v>
      </c>
      <c r="O19" s="4">
        <v>50080</v>
      </c>
      <c r="P19" s="4">
        <v>0</v>
      </c>
      <c r="Q19" s="3">
        <f t="shared" si="3"/>
        <v>0.50080000000000002</v>
      </c>
      <c r="R19" s="4">
        <f>SLOPE(Q15:Q19,A15:A19)</f>
        <v>0.95191999999999999</v>
      </c>
    </row>
    <row r="20" spans="1:18">
      <c r="A20" s="4">
        <v>19</v>
      </c>
      <c r="B20" s="4">
        <v>50492</v>
      </c>
      <c r="C20" s="4">
        <v>12</v>
      </c>
      <c r="D20" s="4">
        <v>1000</v>
      </c>
      <c r="E20" s="3">
        <f t="shared" si="0"/>
        <v>60.590400000000002</v>
      </c>
      <c r="F20" s="2">
        <f>SLOPE(E16:E20,A16:A20)</f>
        <v>3.0562800000000019</v>
      </c>
      <c r="G20" s="4">
        <v>50500</v>
      </c>
      <c r="H20" s="4">
        <v>2</v>
      </c>
      <c r="I20" s="3">
        <f t="shared" si="1"/>
        <v>10.1</v>
      </c>
      <c r="J20" s="2">
        <f>SLOPE(I16:I20,A16:A20)</f>
        <v>0.96279999999999999</v>
      </c>
      <c r="K20" s="4">
        <v>50100</v>
      </c>
      <c r="L20" s="4">
        <v>2</v>
      </c>
      <c r="M20" s="3">
        <f t="shared" si="2"/>
        <v>10.02</v>
      </c>
      <c r="N20" s="4">
        <f>SLOPE(M16:M20,A16:A20)</f>
        <v>0</v>
      </c>
      <c r="O20" s="4">
        <v>50080</v>
      </c>
      <c r="P20" s="4">
        <v>0</v>
      </c>
      <c r="Q20" s="3">
        <f t="shared" si="3"/>
        <v>0.50080000000000002</v>
      </c>
      <c r="R20" s="4">
        <f>SLOPE(Q16:Q20,A16:A20)</f>
        <v>0</v>
      </c>
    </row>
    <row r="21" spans="1:18">
      <c r="A21" s="4">
        <v>20</v>
      </c>
      <c r="B21" s="4">
        <v>50492</v>
      </c>
      <c r="C21" s="4">
        <v>12</v>
      </c>
      <c r="D21" s="4">
        <v>1000</v>
      </c>
      <c r="E21" s="3">
        <f t="shared" si="0"/>
        <v>60.590400000000002</v>
      </c>
      <c r="F21" s="2">
        <f>SLOPE(E17:E21,A17:A21)</f>
        <v>2.0339200000000011</v>
      </c>
      <c r="G21" s="4">
        <v>50480</v>
      </c>
      <c r="H21" s="4">
        <v>0</v>
      </c>
      <c r="I21" s="3">
        <f t="shared" si="1"/>
        <v>0.50480000000000003</v>
      </c>
      <c r="J21" s="2">
        <f>SLOPE(I17:I21,A17:A21)</f>
        <v>1.6000000000016001E-4</v>
      </c>
      <c r="K21" s="4">
        <v>50100</v>
      </c>
      <c r="L21" s="4">
        <v>2</v>
      </c>
      <c r="M21" s="3">
        <f t="shared" si="2"/>
        <v>10.02</v>
      </c>
      <c r="N21" s="4">
        <f>SLOPE(M17:M21,A17:A21)</f>
        <v>-1.0059999999999998</v>
      </c>
      <c r="O21" s="4">
        <v>50080</v>
      </c>
      <c r="P21" s="4">
        <v>0</v>
      </c>
      <c r="Q21" s="3">
        <f t="shared" si="3"/>
        <v>0.50080000000000002</v>
      </c>
      <c r="R21" s="4">
        <f>SLOPE(Q17:Q21,A17:A21)</f>
        <v>-0.95191999999999999</v>
      </c>
    </row>
    <row r="22" spans="1:18">
      <c r="A22" s="4">
        <v>21</v>
      </c>
      <c r="B22" s="4">
        <v>50592</v>
      </c>
      <c r="C22" s="4">
        <v>14</v>
      </c>
      <c r="D22" s="4">
        <v>1000</v>
      </c>
      <c r="E22" s="3">
        <f t="shared" si="0"/>
        <v>70.828800000000001</v>
      </c>
      <c r="F22" s="2">
        <f>SLOPE(E18:E22,A18:A22)</f>
        <v>2.0411999999999999</v>
      </c>
      <c r="G22" s="4">
        <v>50580</v>
      </c>
      <c r="H22" s="4">
        <v>2</v>
      </c>
      <c r="I22" s="3">
        <f t="shared" si="1"/>
        <v>10.116</v>
      </c>
      <c r="J22" s="2">
        <f>SLOPE(I18:I22,A18:A22)</f>
        <v>-0.95631999999999984</v>
      </c>
      <c r="K22" s="4">
        <v>50200</v>
      </c>
      <c r="L22" s="4">
        <v>4</v>
      </c>
      <c r="M22" s="3">
        <f t="shared" si="2"/>
        <v>20.079999999999998</v>
      </c>
      <c r="N22" s="4">
        <f>SLOPE(M18:M22,A18:A22)</f>
        <v>0</v>
      </c>
      <c r="O22" s="4">
        <v>50100</v>
      </c>
      <c r="P22" s="4">
        <v>2</v>
      </c>
      <c r="Q22" s="3">
        <f t="shared" si="3"/>
        <v>10.02</v>
      </c>
      <c r="R22" s="4">
        <f>SLOPE(Q18:Q22,A18:A22)</f>
        <v>0</v>
      </c>
    </row>
    <row r="23" spans="1:18">
      <c r="A23" s="4">
        <v>22</v>
      </c>
      <c r="B23" s="4">
        <v>50592</v>
      </c>
      <c r="C23" s="4">
        <v>14</v>
      </c>
      <c r="D23" s="4">
        <v>1000</v>
      </c>
      <c r="E23" s="3">
        <f t="shared" si="0"/>
        <v>70.828800000000001</v>
      </c>
      <c r="F23" s="2">
        <f>SLOPE(E19:E23,A19:A23)</f>
        <v>3.0671999999999997</v>
      </c>
      <c r="G23" s="4">
        <v>50580</v>
      </c>
      <c r="H23" s="4">
        <v>2</v>
      </c>
      <c r="I23" s="3">
        <f t="shared" si="1"/>
        <v>10.116</v>
      </c>
      <c r="J23" s="2">
        <f>SLOPE(I19:I23,A19:A23)</f>
        <v>4.8000000000000039E-3</v>
      </c>
      <c r="K23" s="4">
        <v>50100</v>
      </c>
      <c r="L23" s="4">
        <v>2</v>
      </c>
      <c r="M23" s="3">
        <f t="shared" si="2"/>
        <v>10.02</v>
      </c>
      <c r="N23" s="4">
        <f>SLOPE(M19:M23,A19:A23)</f>
        <v>1.0059999999999998</v>
      </c>
      <c r="O23" s="4">
        <v>50080</v>
      </c>
      <c r="P23" s="4">
        <v>0</v>
      </c>
      <c r="Q23" s="3">
        <f t="shared" si="3"/>
        <v>0.50080000000000002</v>
      </c>
      <c r="R23" s="4">
        <f>SLOPE(Q19:Q23,A19:A23)</f>
        <v>0.95191999999999999</v>
      </c>
    </row>
    <row r="24" spans="1:18">
      <c r="A24" s="4">
        <v>23</v>
      </c>
      <c r="B24" s="4">
        <v>50574</v>
      </c>
      <c r="C24" s="4">
        <v>14</v>
      </c>
      <c r="D24" s="4">
        <v>1000</v>
      </c>
      <c r="E24" s="3">
        <f t="shared" si="0"/>
        <v>70.803600000000003</v>
      </c>
      <c r="F24" s="2">
        <f>SLOPE(E20:E24,A20:A24)</f>
        <v>3.0664799999999999</v>
      </c>
      <c r="G24" s="4">
        <v>50580</v>
      </c>
      <c r="H24" s="4">
        <v>2</v>
      </c>
      <c r="I24" s="3">
        <f t="shared" si="1"/>
        <v>10.116</v>
      </c>
      <c r="J24" s="2">
        <f>SLOPE(I20:I24,A20:A24)</f>
        <v>0.96432000000000007</v>
      </c>
      <c r="K24" s="4">
        <v>50100</v>
      </c>
      <c r="L24" s="4">
        <v>2</v>
      </c>
      <c r="M24" s="3">
        <f t="shared" si="2"/>
        <v>10.02</v>
      </c>
      <c r="N24" s="4">
        <f>SLOPE(M20:M24,A20:A24)</f>
        <v>0</v>
      </c>
      <c r="O24" s="4">
        <v>50080</v>
      </c>
      <c r="P24" s="4">
        <v>0</v>
      </c>
      <c r="Q24" s="3">
        <f t="shared" si="3"/>
        <v>0.50080000000000002</v>
      </c>
      <c r="R24" s="4">
        <f>SLOPE(Q20:Q24,A20:A24)</f>
        <v>0</v>
      </c>
    </row>
  </sheetData>
  <conditionalFormatting sqref="F2:F2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2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2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Rolling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Belousov</dc:creator>
  <cp:lastModifiedBy>Elizabeth Belousov</cp:lastModifiedBy>
  <dcterms:created xsi:type="dcterms:W3CDTF">2026-10-11T19:36:59Z</dcterms:created>
  <dcterms:modified xsi:type="dcterms:W3CDTF">2026-10-12T00:30:32Z</dcterms:modified>
</cp:coreProperties>
</file>